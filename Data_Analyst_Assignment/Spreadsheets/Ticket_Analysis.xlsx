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400"/>
      <sz val="10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1F3864"/>
      <sz val="10"/>
    </font>
    <font>
      <name val="Arial"/>
      <b val="1"/>
      <sz val="9"/>
    </font>
    <font>
      <name val="Courier New"/>
      <color rgb="00006400"/>
      <sz val="9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left" vertic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/>
    </xf>
    <xf numFmtId="0" fontId="6" fillId="7" borderId="0" pivotButton="0" quotePrefix="0" xfId="0"/>
    <xf numFmtId="0" fontId="7" fillId="3" borderId="1" pivotButton="0" quotePrefix="0" xfId="0"/>
    <xf numFmtId="0" fontId="8" fillId="5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16" customWidth="1" min="4" max="4"/>
    <col width="15" customWidth="1" min="5" max="5"/>
  </cols>
  <sheetData>
    <row r="1" ht="22" customHeight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</row>
    <row r="2">
      <c r="A2" s="2" t="inlineStr">
        <is>
          <t>isu-sjd-457</t>
        </is>
      </c>
      <c r="B2" s="2" t="inlineStr">
        <is>
          <t>2021-08-19 16:45:43</t>
        </is>
      </c>
      <c r="C2" s="2" t="inlineStr">
        <is>
          <t>2021-08-22 12:33:32</t>
        </is>
      </c>
      <c r="D2" s="2" t="inlineStr">
        <is>
          <t>wrqy-juv-978</t>
        </is>
      </c>
      <c r="E2" s="2" t="inlineStr">
        <is>
          <t>vew-iuvd-12</t>
        </is>
      </c>
    </row>
    <row r="3">
      <c r="A3" s="3" t="inlineStr">
        <is>
          <t>qer-fal-092</t>
        </is>
      </c>
      <c r="B3" s="3" t="inlineStr">
        <is>
          <t>2021-08-21 11:09:22</t>
        </is>
      </c>
      <c r="C3" s="3" t="inlineStr">
        <is>
          <t>2021-08-21 17:13:45</t>
        </is>
      </c>
      <c r="D3" s="3" t="inlineStr">
        <is>
          <t>8woh-k3u-23b</t>
        </is>
      </c>
      <c r="E3" s="3" t="inlineStr">
        <is>
          <t>cms-abc-001</t>
        </is>
      </c>
    </row>
    <row r="4">
      <c r="A4" s="2" t="inlineStr">
        <is>
          <t>tkr-mnp-113</t>
        </is>
      </c>
      <c r="B4" s="2" t="inlineStr">
        <is>
          <t>2021-08-22 09:00:00</t>
        </is>
      </c>
      <c r="C4" s="2" t="inlineStr">
        <is>
          <t>2021-08-22 09:45:10</t>
        </is>
      </c>
      <c r="D4" s="2" t="inlineStr">
        <is>
          <t>wrqy-juv-978</t>
        </is>
      </c>
      <c r="E4" s="2" t="inlineStr">
        <is>
          <t>vew-iuvd-12</t>
        </is>
      </c>
    </row>
    <row r="5">
      <c r="A5" s="3" t="inlineStr">
        <is>
          <t>bst-xyz-200</t>
        </is>
      </c>
      <c r="B5" s="3" t="inlineStr">
        <is>
          <t>2021-08-23 14:30:00</t>
        </is>
      </c>
      <c r="C5" s="3" t="inlineStr">
        <is>
          <t>2021-08-23 14:55:22</t>
        </is>
      </c>
      <c r="D5" s="3" t="inlineStr">
        <is>
          <t>8woh-k3u-23b</t>
        </is>
      </c>
      <c r="E5" s="3" t="inlineStr">
        <is>
          <t>cms-def-002</t>
        </is>
      </c>
    </row>
    <row r="6">
      <c r="A6" s="2" t="inlineStr">
        <is>
          <t>clt-pqr-301</t>
        </is>
      </c>
      <c r="B6" s="2" t="inlineStr">
        <is>
          <t>2021-08-24 08:10:00</t>
        </is>
      </c>
      <c r="C6" s="2" t="inlineStr">
        <is>
          <t>2021-08-25 10:20:30</t>
        </is>
      </c>
      <c r="D6" s="2" t="inlineStr">
        <is>
          <t>wrqy-juv-978</t>
        </is>
      </c>
      <c r="E6" s="2" t="inlineStr">
        <is>
          <t>cms-abc-001</t>
        </is>
      </c>
    </row>
    <row r="7">
      <c r="A7" s="3" t="inlineStr">
        <is>
          <t>dlt-rst-402</t>
        </is>
      </c>
      <c r="B7" s="3" t="inlineStr">
        <is>
          <t>2021-08-24 11:00:00</t>
        </is>
      </c>
      <c r="C7" s="3" t="inlineStr">
        <is>
          <t>2021-08-24 11:50:00</t>
        </is>
      </c>
      <c r="D7" s="3" t="inlineStr">
        <is>
          <t>8woh-k3u-23b</t>
        </is>
      </c>
      <c r="E7" s="3" t="inlineStr">
        <is>
          <t>vew-iuvd-12</t>
        </is>
      </c>
    </row>
    <row r="8">
      <c r="A8" s="2" t="inlineStr">
        <is>
          <t>elt-uvw-503</t>
        </is>
      </c>
      <c r="B8" s="2" t="inlineStr">
        <is>
          <t>2021-08-25 13:00:00</t>
        </is>
      </c>
      <c r="C8" s="2" t="inlineStr">
        <is>
          <t>2021-08-26 09:00:00</t>
        </is>
      </c>
      <c r="D8" s="2" t="inlineStr">
        <is>
          <t>wrqy-juv-978</t>
        </is>
      </c>
      <c r="E8" s="2" t="inlineStr">
        <is>
          <t>cms-def-002</t>
        </is>
      </c>
    </row>
    <row r="9">
      <c r="A9" s="3" t="inlineStr">
        <is>
          <t>flt-xyz-604</t>
        </is>
      </c>
      <c r="B9" s="3" t="inlineStr">
        <is>
          <t>2021-08-25 15:30:00</t>
        </is>
      </c>
      <c r="C9" s="3" t="inlineStr">
        <is>
          <t>2021-08-25 16:00:00</t>
        </is>
      </c>
      <c r="D9" s="3" t="inlineStr">
        <is>
          <t>8woh-k3u-23b</t>
        </is>
      </c>
      <c r="E9" s="3" t="inlineStr">
        <is>
          <t>cms-abc-001</t>
        </is>
      </c>
    </row>
    <row r="10">
      <c r="A10" s="2" t="inlineStr">
        <is>
          <t>glt-abc-705</t>
        </is>
      </c>
      <c r="B10" s="2" t="inlineStr">
        <is>
          <t>2021-08-26 07:45:00</t>
        </is>
      </c>
      <c r="C10" s="2" t="inlineStr">
        <is>
          <t>2021-08-26 08:30:00</t>
        </is>
      </c>
      <c r="D10" s="2" t="inlineStr">
        <is>
          <t>wrqy-juv-978</t>
        </is>
      </c>
      <c r="E10" s="2" t="inlineStr">
        <is>
          <t>vew-iuvd-12</t>
        </is>
      </c>
    </row>
    <row r="11">
      <c r="A11" s="3" t="inlineStr">
        <is>
          <t>hlt-def-806</t>
        </is>
      </c>
      <c r="B11" s="3" t="inlineStr">
        <is>
          <t>2021-08-27 10:00:00</t>
        </is>
      </c>
      <c r="C11" s="3" t="inlineStr">
        <is>
          <t>2021-08-27 10:30:00</t>
        </is>
      </c>
      <c r="D11" s="3" t="inlineStr">
        <is>
          <t>8woh-k3u-23b</t>
        </is>
      </c>
      <c r="E11" s="3" t="inlineStr">
        <is>
          <t>cms-def-002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40" customWidth="1" min="4" max="4"/>
  </cols>
  <sheetData>
    <row r="1" ht="22" customHeight="1">
      <c r="A1" s="1" t="inlineStr">
        <is>
          <t>cms_id</t>
        </is>
      </c>
      <c r="B1" s="1" t="inlineStr">
        <is>
          <t>feedback_at</t>
        </is>
      </c>
      <c r="C1" s="1" t="inlineStr">
        <is>
          <t>feedback_rating</t>
        </is>
      </c>
      <c r="D1" s="1" t="inlineStr">
        <is>
          <t>ticket_created_at</t>
        </is>
      </c>
    </row>
    <row r="2">
      <c r="A2" s="4" t="inlineStr">
        <is>
          <t>vew-iuvd-12</t>
        </is>
      </c>
      <c r="B2" s="4" t="inlineStr">
        <is>
          <t>2021-08-21 13:26:48</t>
        </is>
      </c>
      <c r="C2" s="5" t="n">
        <v>3</v>
      </c>
      <c r="D2" s="6">
        <f>IFERROR(INDEX(ticket!$B:$B,MATCH(A2,ticket!$E:$E,0)),"Not Found")</f>
        <v/>
      </c>
    </row>
    <row r="3">
      <c r="A3" s="7" t="inlineStr">
        <is>
          <t>cms-abc-001</t>
        </is>
      </c>
      <c r="B3" s="7" t="inlineStr">
        <is>
          <t>2021-08-22 10:00:00</t>
        </is>
      </c>
      <c r="C3" s="8" t="n">
        <v>5</v>
      </c>
      <c r="D3" s="6">
        <f>IFERROR(INDEX(ticket!$B:$B,MATCH(A3,ticket!$E:$E,0)),"Not Found")</f>
        <v/>
      </c>
    </row>
    <row r="4">
      <c r="A4" s="4" t="inlineStr">
        <is>
          <t>cms-def-002</t>
        </is>
      </c>
      <c r="B4" s="4" t="inlineStr">
        <is>
          <t>2021-08-23 16:00:00</t>
        </is>
      </c>
      <c r="C4" s="5" t="n">
        <v>4</v>
      </c>
      <c r="D4" s="6">
        <f>IFERROR(INDEX(ticket!$B:$B,MATCH(A4,ticket!$E:$E,0)),"Not Found")</f>
        <v/>
      </c>
    </row>
    <row r="5">
      <c r="A5" s="7" t="inlineStr">
        <is>
          <t>vew-iuvd-12</t>
        </is>
      </c>
      <c r="B5" s="7" t="inlineStr">
        <is>
          <t>2021-08-23 08:30:00</t>
        </is>
      </c>
      <c r="C5" s="8" t="n">
        <v>2</v>
      </c>
      <c r="D5" s="6">
        <f>IFERROR(INDEX(ticket!$B:$B,MATCH(A5,ticket!$E:$E,0)),"Not Found")</f>
        <v/>
      </c>
    </row>
    <row r="6">
      <c r="A6" s="4" t="inlineStr">
        <is>
          <t>cms-abc-001</t>
        </is>
      </c>
      <c r="B6" s="4" t="inlineStr">
        <is>
          <t>2021-08-25 12:00:00</t>
        </is>
      </c>
      <c r="C6" s="5" t="n">
        <v>5</v>
      </c>
      <c r="D6" s="6">
        <f>IFERROR(INDEX(ticket!$B:$B,MATCH(A6,ticket!$E:$E,0)),"Not Found")</f>
        <v/>
      </c>
    </row>
    <row r="7">
      <c r="A7" s="7" t="inlineStr">
        <is>
          <t>vew-iuvd-12</t>
        </is>
      </c>
      <c r="B7" s="7" t="inlineStr">
        <is>
          <t>2021-08-26 09:00:00</t>
        </is>
      </c>
      <c r="C7" s="8" t="n">
        <v>3</v>
      </c>
      <c r="D7" s="6">
        <f>IFERROR(INDEX(ticket!$B:$B,MATCH(A7,ticket!$E:$E,0)),"Not Found")</f>
        <v/>
      </c>
    </row>
    <row r="8">
      <c r="A8" s="4" t="inlineStr">
        <is>
          <t>cms-def-002</t>
        </is>
      </c>
      <c r="B8" s="4" t="inlineStr">
        <is>
          <t>2021-08-26 11:00:00</t>
        </is>
      </c>
      <c r="C8" s="5" t="n">
        <v>4</v>
      </c>
      <c r="D8" s="6">
        <f>IFERROR(INDEX(ticket!$B:$B,MATCH(A8,ticket!$E:$E,0)),"Not Found")</f>
        <v/>
      </c>
    </row>
    <row r="9">
      <c r="A9" s="7" t="inlineStr">
        <is>
          <t>cms-abc-001</t>
        </is>
      </c>
      <c r="B9" s="7" t="inlineStr">
        <is>
          <t>2021-08-26 17:00:00</t>
        </is>
      </c>
      <c r="C9" s="8" t="n">
        <v>5</v>
      </c>
      <c r="D9" s="6">
        <f>IFERROR(INDEX(ticket!$B:$B,MATCH(A9,ticket!$E:$E,0)),"Not Found")</f>
        <v/>
      </c>
    </row>
    <row r="10">
      <c r="A10" s="4" t="inlineStr">
        <is>
          <t>vew-iuvd-12</t>
        </is>
      </c>
      <c r="B10" s="4" t="inlineStr">
        <is>
          <t>2021-08-27 08:00:00</t>
        </is>
      </c>
      <c r="C10" s="5" t="n">
        <v>1</v>
      </c>
      <c r="D10" s="6">
        <f>IFERROR(INDEX(ticket!$B:$B,MATCH(A10,ticket!$E:$E,0)),"Not Found")</f>
        <v/>
      </c>
    </row>
    <row r="11">
      <c r="A11" s="7" t="inlineStr">
        <is>
          <t>cms-def-002</t>
        </is>
      </c>
      <c r="B11" s="7" t="inlineStr">
        <is>
          <t>2021-08-27 11:30:00</t>
        </is>
      </c>
      <c r="C11" s="8" t="n">
        <v>4</v>
      </c>
      <c r="D11" s="6">
        <f>IFERROR(INDEX(ticket!$B:$B,MATCH(A11,ticket!$E:$E,0)),"Not Found")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37" customWidth="1" min="6" max="6"/>
    <col width="40" customWidth="1" min="7" max="7"/>
    <col width="40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28" customHeight="1">
      <c r="A1" s="9" t="inlineStr">
        <is>
          <t>Ticket Analysis – Same Day &amp; Same Hour Closure</t>
        </is>
      </c>
    </row>
    <row r="2" ht="18" customHeight="1">
      <c r="A2" s="10" t="inlineStr">
        <is>
          <t>Q2: Count of tickets created AND closed on the same day / same hour, grouped by outlet_id</t>
        </is>
      </c>
    </row>
    <row r="3" ht="22" customHeight="1">
      <c r="A3" s="1" t="inlineStr">
        <is>
          <t>ticket_id</t>
        </is>
      </c>
      <c r="B3" s="1" t="inlineStr">
        <is>
          <t>created_at</t>
        </is>
      </c>
      <c r="C3" s="1" t="inlineStr">
        <is>
          <t>closed_at</t>
        </is>
      </c>
      <c r="D3" s="1" t="inlineStr">
        <is>
          <t>outlet_id</t>
        </is>
      </c>
      <c r="E3" s="1" t="inlineStr">
        <is>
          <t>cms_id</t>
        </is>
      </c>
      <c r="F3" s="1" t="inlineStr">
        <is>
          <t>Same Day?</t>
        </is>
      </c>
      <c r="G3" s="1" t="inlineStr">
        <is>
          <t>Same Hour?</t>
        </is>
      </c>
      <c r="H3" s="1" t="inlineStr">
        <is>
          <t>Both Same?</t>
        </is>
      </c>
    </row>
    <row r="4">
      <c r="A4" s="2">
        <f>ticket!A2</f>
        <v/>
      </c>
      <c r="B4" s="2">
        <f>ticket!B2</f>
        <v/>
      </c>
      <c r="C4" s="2">
        <f>ticket!C2</f>
        <v/>
      </c>
      <c r="D4" s="2">
        <f>ticket!D2</f>
        <v/>
      </c>
      <c r="E4" s="2">
        <f>ticket!E2</f>
        <v/>
      </c>
      <c r="F4" s="11">
        <f>IF(INT(B4)=INT(C4),"Yes","No")</f>
        <v/>
      </c>
      <c r="G4" s="11">
        <f>IF(AND(INT(B4)=INT(C4),HOUR(B4)=HOUR(C4)),"Yes","No")</f>
        <v/>
      </c>
      <c r="H4" s="11">
        <f>IF(AND(F4="Yes",G4="Yes"),"Yes","No")</f>
        <v/>
      </c>
    </row>
    <row r="5">
      <c r="A5" s="3">
        <f>ticket!A3</f>
        <v/>
      </c>
      <c r="B5" s="3">
        <f>ticket!B3</f>
        <v/>
      </c>
      <c r="C5" s="3">
        <f>ticket!C3</f>
        <v/>
      </c>
      <c r="D5" s="3">
        <f>ticket!D3</f>
        <v/>
      </c>
      <c r="E5" s="3">
        <f>ticket!E3</f>
        <v/>
      </c>
      <c r="F5" s="11">
        <f>IF(INT(B5)=INT(C5),"Yes","No")</f>
        <v/>
      </c>
      <c r="G5" s="11">
        <f>IF(AND(INT(B5)=INT(C5),HOUR(B5)=HOUR(C5)),"Yes","No")</f>
        <v/>
      </c>
      <c r="H5" s="11">
        <f>IF(AND(F5="Yes",G5="Yes"),"Yes","No")</f>
        <v/>
      </c>
    </row>
    <row r="6">
      <c r="A6" s="2">
        <f>ticket!A4</f>
        <v/>
      </c>
      <c r="B6" s="2">
        <f>ticket!B4</f>
        <v/>
      </c>
      <c r="C6" s="2">
        <f>ticket!C4</f>
        <v/>
      </c>
      <c r="D6" s="2">
        <f>ticket!D4</f>
        <v/>
      </c>
      <c r="E6" s="2">
        <f>ticket!E4</f>
        <v/>
      </c>
      <c r="F6" s="11">
        <f>IF(INT(B6)=INT(C6),"Yes","No")</f>
        <v/>
      </c>
      <c r="G6" s="11">
        <f>IF(AND(INT(B6)=INT(C6),HOUR(B6)=HOUR(C6)),"Yes","No")</f>
        <v/>
      </c>
      <c r="H6" s="11">
        <f>IF(AND(F6="Yes",G6="Yes"),"Yes","No")</f>
        <v/>
      </c>
    </row>
    <row r="7">
      <c r="A7" s="3">
        <f>ticket!A5</f>
        <v/>
      </c>
      <c r="B7" s="3">
        <f>ticket!B5</f>
        <v/>
      </c>
      <c r="C7" s="3">
        <f>ticket!C5</f>
        <v/>
      </c>
      <c r="D7" s="3">
        <f>ticket!D5</f>
        <v/>
      </c>
      <c r="E7" s="3">
        <f>ticket!E5</f>
        <v/>
      </c>
      <c r="F7" s="11">
        <f>IF(INT(B7)=INT(C7),"Yes","No")</f>
        <v/>
      </c>
      <c r="G7" s="11">
        <f>IF(AND(INT(B7)=INT(C7),HOUR(B7)=HOUR(C7)),"Yes","No")</f>
        <v/>
      </c>
      <c r="H7" s="11">
        <f>IF(AND(F7="Yes",G7="Yes"),"Yes","No")</f>
        <v/>
      </c>
    </row>
    <row r="8">
      <c r="A8" s="2">
        <f>ticket!A6</f>
        <v/>
      </c>
      <c r="B8" s="2">
        <f>ticket!B6</f>
        <v/>
      </c>
      <c r="C8" s="2">
        <f>ticket!C6</f>
        <v/>
      </c>
      <c r="D8" s="2">
        <f>ticket!D6</f>
        <v/>
      </c>
      <c r="E8" s="2">
        <f>ticket!E6</f>
        <v/>
      </c>
      <c r="F8" s="11">
        <f>IF(INT(B8)=INT(C8),"Yes","No")</f>
        <v/>
      </c>
      <c r="G8" s="11">
        <f>IF(AND(INT(B8)=INT(C8),HOUR(B8)=HOUR(C8)),"Yes","No")</f>
        <v/>
      </c>
      <c r="H8" s="11">
        <f>IF(AND(F8="Yes",G8="Yes"),"Yes","No")</f>
        <v/>
      </c>
    </row>
    <row r="9">
      <c r="A9" s="3">
        <f>ticket!A7</f>
        <v/>
      </c>
      <c r="B9" s="3">
        <f>ticket!B7</f>
        <v/>
      </c>
      <c r="C9" s="3">
        <f>ticket!C7</f>
        <v/>
      </c>
      <c r="D9" s="3">
        <f>ticket!D7</f>
        <v/>
      </c>
      <c r="E9" s="3">
        <f>ticket!E7</f>
        <v/>
      </c>
      <c r="F9" s="11">
        <f>IF(INT(B9)=INT(C9),"Yes","No")</f>
        <v/>
      </c>
      <c r="G9" s="11">
        <f>IF(AND(INT(B9)=INT(C9),HOUR(B9)=HOUR(C9)),"Yes","No")</f>
        <v/>
      </c>
      <c r="H9" s="11">
        <f>IF(AND(F9="Yes",G9="Yes"),"Yes","No")</f>
        <v/>
      </c>
    </row>
    <row r="10">
      <c r="A10" s="2">
        <f>ticket!A8</f>
        <v/>
      </c>
      <c r="B10" s="2">
        <f>ticket!B8</f>
        <v/>
      </c>
      <c r="C10" s="2">
        <f>ticket!C8</f>
        <v/>
      </c>
      <c r="D10" s="2">
        <f>ticket!D8</f>
        <v/>
      </c>
      <c r="E10" s="2">
        <f>ticket!E8</f>
        <v/>
      </c>
      <c r="F10" s="11">
        <f>IF(INT(B10)=INT(C10),"Yes","No")</f>
        <v/>
      </c>
      <c r="G10" s="11">
        <f>IF(AND(INT(B10)=INT(C10),HOUR(B10)=HOUR(C10)),"Yes","No")</f>
        <v/>
      </c>
      <c r="H10" s="11">
        <f>IF(AND(F10="Yes",G10="Yes"),"Yes","No")</f>
        <v/>
      </c>
    </row>
    <row r="11">
      <c r="A11" s="3">
        <f>ticket!A9</f>
        <v/>
      </c>
      <c r="B11" s="3">
        <f>ticket!B9</f>
        <v/>
      </c>
      <c r="C11" s="3">
        <f>ticket!C9</f>
        <v/>
      </c>
      <c r="D11" s="3">
        <f>ticket!D9</f>
        <v/>
      </c>
      <c r="E11" s="3">
        <f>ticket!E9</f>
        <v/>
      </c>
      <c r="F11" s="11">
        <f>IF(INT(B11)=INT(C11),"Yes","No")</f>
        <v/>
      </c>
      <c r="G11" s="11">
        <f>IF(AND(INT(B11)=INT(C11),HOUR(B11)=HOUR(C11)),"Yes","No")</f>
        <v/>
      </c>
      <c r="H11" s="11">
        <f>IF(AND(F11="Yes",G11="Yes"),"Yes","No")</f>
        <v/>
      </c>
    </row>
    <row r="12">
      <c r="A12" s="2">
        <f>ticket!A10</f>
        <v/>
      </c>
      <c r="B12" s="2">
        <f>ticket!B10</f>
        <v/>
      </c>
      <c r="C12" s="2">
        <f>ticket!C10</f>
        <v/>
      </c>
      <c r="D12" s="2">
        <f>ticket!D10</f>
        <v/>
      </c>
      <c r="E12" s="2">
        <f>ticket!E10</f>
        <v/>
      </c>
      <c r="F12" s="11">
        <f>IF(INT(B12)=INT(C12),"Yes","No")</f>
        <v/>
      </c>
      <c r="G12" s="11">
        <f>IF(AND(INT(B12)=INT(C12),HOUR(B12)=HOUR(C12)),"Yes","No")</f>
        <v/>
      </c>
      <c r="H12" s="11">
        <f>IF(AND(F12="Yes",G12="Yes"),"Yes","No")</f>
        <v/>
      </c>
    </row>
    <row r="13">
      <c r="A13" s="3">
        <f>ticket!A11</f>
        <v/>
      </c>
      <c r="B13" s="3">
        <f>ticket!B11</f>
        <v/>
      </c>
      <c r="C13" s="3">
        <f>ticket!C11</f>
        <v/>
      </c>
      <c r="D13" s="3">
        <f>ticket!D11</f>
        <v/>
      </c>
      <c r="E13" s="3">
        <f>ticket!E11</f>
        <v/>
      </c>
      <c r="F13" s="11">
        <f>IF(INT(B13)=INT(C13),"Yes","No")</f>
        <v/>
      </c>
      <c r="G13" s="11">
        <f>IF(AND(INT(B13)=INT(C13),HOUR(B13)=HOUR(C13)),"Yes","No")</f>
        <v/>
      </c>
      <c r="H13" s="11">
        <f>IF(AND(F13="Yes",G13="Yes"),"Yes","No")</f>
        <v/>
      </c>
    </row>
    <row r="14"/>
    <row r="15"/>
    <row r="16" ht="22" customHeight="1">
      <c r="A16" s="12" t="inlineStr">
        <is>
          <t>Summary: Outlet-wise count of same-day / same-hour closures</t>
        </is>
      </c>
    </row>
    <row r="17">
      <c r="A17" s="13" t="inlineStr">
        <is>
          <t>outlet_id</t>
        </is>
      </c>
      <c r="B17" s="13" t="inlineStr">
        <is>
          <t>Total Tickets</t>
        </is>
      </c>
      <c r="C17" s="13" t="inlineStr">
        <is>
          <t>Same Day (count)</t>
        </is>
      </c>
      <c r="D17" s="13" t="inlineStr">
        <is>
          <t>Same Hour (count)</t>
        </is>
      </c>
    </row>
    <row r="18">
      <c r="A18" s="2" t="inlineStr">
        <is>
          <t>wrqy-juv-978</t>
        </is>
      </c>
      <c r="B18" s="5" t="n">
        <v>5</v>
      </c>
      <c r="C18" s="14">
        <f>IF(F4="Yes",1,0)+IF(F6="Yes",1,0)+IF(F9="Yes",1,0)+IF(F11="Yes",1,0)+IF(F13="Yes",1,0)</f>
        <v/>
      </c>
      <c r="D18" s="14">
        <f>IF(G4="Yes",1,0)+IF(G6="Yes",1,0)+IF(G9="Yes",1,0)+IF(G11="Yes",1,0)+IF(G13="Yes",1,0)</f>
        <v/>
      </c>
    </row>
    <row r="19">
      <c r="A19" s="3" t="inlineStr">
        <is>
          <t>8woh-k3u-23b</t>
        </is>
      </c>
      <c r="B19" s="8" t="n">
        <v>5</v>
      </c>
      <c r="C19" s="14">
        <f>IF(F5="Yes",1,0)+IF(F7="Yes",1,0)+IF(F8="Yes",1,0)+IF(F10="Yes",1,0)+IF(F12="Yes",1,0)</f>
        <v/>
      </c>
      <c r="D19" s="14">
        <f>IF(G5="Yes",1,0)+IF(G7="Yes",1,0)+IF(G8="Yes",1,0)+IF(G10="Yes",1,0)+IF(G12="Yes",1,0)</f>
        <v/>
      </c>
    </row>
    <row r="20"/>
    <row r="21"/>
    <row r="22">
      <c r="A22" s="15" t="inlineStr">
        <is>
          <t>Formula Reference</t>
        </is>
      </c>
    </row>
    <row r="23">
      <c r="A23" s="16" t="inlineStr">
        <is>
          <t>Same Day?</t>
        </is>
      </c>
      <c r="B23" s="17">
        <f>IF(INT(created_at) = INT(closed_at), "Yes", "No")</f>
        <v/>
      </c>
      <c r="E23" s="18" t="inlineStr">
        <is>
          <t>Compares the date portion (INT strips the time part)</t>
        </is>
      </c>
    </row>
    <row r="24">
      <c r="A24" s="16" t="inlineStr">
        <is>
          <t>Same Hour?</t>
        </is>
      </c>
      <c r="B24" s="17">
        <f>IF(AND(INT(created_at)=INT(closed_at), HOUR(created_at)=HOUR(closed_at)), "Yes", "No")</f>
        <v/>
      </c>
      <c r="E24" s="18" t="inlineStr">
        <is>
          <t>Checks both: same calendar date AND same hour value</t>
        </is>
      </c>
    </row>
    <row r="25">
      <c r="A25" s="16" t="inlineStr">
        <is>
          <t>ticket_created_at (feedbacks sheet)</t>
        </is>
      </c>
      <c r="B25" s="17">
        <f>IFERROR(INDEX(ticket!$B:$B, MATCH(A2, ticket!$E:$E, 0)), "Not Found")</f>
        <v/>
      </c>
      <c r="E25" s="18" t="inlineStr">
        <is>
          <t>INDEX-MATCH: looks up cms_id in ticket!E, returns created_at from ticket!B</t>
        </is>
      </c>
    </row>
  </sheetData>
  <mergeCells count="10">
    <mergeCell ref="A2:L2"/>
    <mergeCell ref="E23:H23"/>
    <mergeCell ref="B23:D23"/>
    <mergeCell ref="A16:H16"/>
    <mergeCell ref="A1:L1"/>
    <mergeCell ref="E25:H25"/>
    <mergeCell ref="B25:D25"/>
    <mergeCell ref="E24:H24"/>
    <mergeCell ref="B24:D24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2026-04-09T02:17:33Z</dcterms:created>
  <dcterms:modified xmlns:dcterms="http://purl.org/dc/terms/" xmlns:xsi="http://www.w3.org/2001/XMLSchema-instance" xsi:type="dcterms:W3CDTF">2026-04-09T02:17:33Z</dcterms:modified>
</cp:coreProperties>
</file>